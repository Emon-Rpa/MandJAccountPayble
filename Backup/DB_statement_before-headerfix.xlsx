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on\Documents\UiPath\Live\AccountsPayableProd\statements\"/>
    </mc:Choice>
  </mc:AlternateContent>
  <xr:revisionPtr revIDLastSave="0" documentId="13_ncr:1_{4837F06E-27AC-42BE-A30C-026ADE03BF25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DHAKABANK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C35" i="1"/>
  <c r="C34" i="1"/>
  <c r="C33" i="1"/>
  <c r="C31" i="1"/>
  <c r="C18" i="1"/>
  <c r="C17" i="1"/>
  <c r="C16" i="1"/>
  <c r="C15" i="1"/>
  <c r="C14" i="1"/>
  <c r="C13" i="1"/>
  <c r="C12" i="1"/>
</calcChain>
</file>

<file path=xl/sharedStrings.xml><?xml version="1.0" encoding="utf-8"?>
<sst xmlns="http://schemas.openxmlformats.org/spreadsheetml/2006/main" count="65" uniqueCount="58">
  <si>
    <t>TXN DATE</t>
  </si>
  <si>
    <t>VALUE DATE</t>
  </si>
  <si>
    <t>TXN BRN</t>
  </si>
  <si>
    <t>DESCRIPTION</t>
  </si>
  <si>
    <t>DEBIT</t>
  </si>
  <si>
    <t>CREDIT</t>
  </si>
  <si>
    <t>BALANCE</t>
  </si>
  <si>
    <t>225,MKL</t>
  </si>
  <si>
    <t>141826310521</t>
  </si>
  <si>
    <t>141826310521. OUTWARD BANK TRANSFER</t>
  </si>
  <si>
    <t>TT_USD.1648.03_141826310521</t>
  </si>
  <si>
    <t>141826330039</t>
  </si>
  <si>
    <t>1418263300397. INTERNAL FUND TRANSFER</t>
  </si>
  <si>
    <t xml:space="preserve">LC PAYMENT OF RTGS </t>
  </si>
  <si>
    <t>RTGS to The City Bank_Freight Management</t>
  </si>
  <si>
    <t>RTGS to The City Bank_Freight management</t>
  </si>
  <si>
    <t>141826310540</t>
  </si>
  <si>
    <t>141826310540. INTERNAL FUND TRANSFER</t>
  </si>
  <si>
    <t>RTGS to NBL_5488 6781 1007 6737</t>
  </si>
  <si>
    <t>141826310567</t>
  </si>
  <si>
    <t>141826310567. INTERNAL FUND TRANSFER</t>
  </si>
  <si>
    <t>B/F . . .</t>
  </si>
  <si>
    <t>141826120037B01 IMPORT BILL LIQUIDATION</t>
  </si>
  <si>
    <t>141826120037B01 FDD CHARGE</t>
  </si>
  <si>
    <t>141826120035B01 IMPORT BILL LIQUIDATION</t>
  </si>
  <si>
    <t>1418250403208B01 IMPORT BILL LIQUIDATION</t>
  </si>
  <si>
    <t>22520260744 EXPORT BILL REALIZATION</t>
  </si>
  <si>
    <t>141826120060B01 IMPORT BILL LIQUIDATION</t>
  </si>
  <si>
    <t>141826120056B01 IMPORT BILL LIQUIDATION</t>
  </si>
  <si>
    <t>225LEDF260220501 User Ref: 225LEDF260220501 LOAN PRINCIPAL REPAYMENT</t>
  </si>
  <si>
    <t>225LEDF253480002 User Ref: 225LEDF253480002 LOAN PRINCIPAL REPAYMENT</t>
  </si>
  <si>
    <t>225LEDF253510002 User Ref: 225LEDF253510002 LOAN PRINCIPAL REPAYMENT</t>
  </si>
  <si>
    <t>225LEDF253520003 User Ref: 225LEDF253520003 LOAN PRINCIPAL REPAYMENT</t>
  </si>
  <si>
    <t>225LEDF253450002 User Ref: 225LEDF253450002 LOAN PRINCIPAL REPAYMENT</t>
  </si>
  <si>
    <t>225LEDF260220503 User Ref: 225LEDF260220503 LOAN PRINCIPAL REPAYMENT</t>
  </si>
  <si>
    <t>225LEDF260220505 User Ref: 225LEDF260220505 LOAN PRINCIPAL REPAYMENT</t>
  </si>
  <si>
    <t>225LEDF260070009 User Ref: 225LEDF260070009 LOAN PRINCIPAL REPAYMENT</t>
  </si>
  <si>
    <t>225LEDF260070010 User Ref: 225LEDF260070010 LOAN PRINCIPAL REPAYMENT</t>
  </si>
  <si>
    <t>225LEDF253640502 User Ref: 225LEDF253640502 LOAN PRINCIPAL REPAYMENT</t>
  </si>
  <si>
    <t>225LEDF260130002 User Ref: 225LEDF260130002 LOAN PRINCIPAL REPAYMENT</t>
  </si>
  <si>
    <t>225LEDF260330505 User Ref: 225LEDF260330505 LOAN PRINCIPAL REPAYMENT</t>
  </si>
  <si>
    <t>1418260300152B01 IMPORT BILL LIQUIDATION</t>
  </si>
  <si>
    <t>22520260850 EXPORT BILL REALIZATION</t>
  </si>
  <si>
    <t>1418260400195B01 IMPORT BILL LIQUIDATION</t>
  </si>
  <si>
    <t>1418260400351B01 IMPORT BILL LIQUIDATION</t>
  </si>
  <si>
    <t>1418260400194B01 IMPORT BILL LIQUIDATION</t>
  </si>
  <si>
    <t>1418260400199B01 IMPORT BILL LIQUIDATION</t>
  </si>
  <si>
    <t>1418250300332</t>
  </si>
  <si>
    <t>1418250300430</t>
  </si>
  <si>
    <t>1418250300479</t>
  </si>
  <si>
    <t>1418250300485</t>
  </si>
  <si>
    <t>1418250300494</t>
  </si>
  <si>
    <t>1418250300516</t>
  </si>
  <si>
    <t>1418250300557</t>
  </si>
  <si>
    <t>141825050171</t>
  </si>
  <si>
    <t>141825050172</t>
  </si>
  <si>
    <t>141825050174</t>
  </si>
  <si>
    <t>141825050181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</si>
</sst>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tabSelected="1" workbookViewId="0">
      <selection activeCell="D19" sqref="D19"/>
    </sheetView>
  </sheetViews>
  <sheetFormatPr defaultColWidth="8.7265625" defaultRowHeight="14.5" x14ac:dyDescent="0.35"/>
  <cols>
    <col min="1" max="1" width="10.08984375" style="1" bestFit="1" customWidth="1"/>
    <col min="2" max="2" width="10" style="1" customWidth="1"/>
    <col min="3" max="3" width="8.36328125" style="1" customWidth="1"/>
    <col min="4" max="4" width="42" style="1" customWidth="1"/>
    <col min="5" max="5" width="12.36328125" style="1" customWidth="1"/>
    <col min="6" max="6" width="13.36328125" style="1" customWidth="1"/>
    <col min="7" max="7" width="15.453125" style="1" customWidth="1"/>
    <col min="8" max="16384" width="8.7265625" style="1"/>
  </cols>
  <sheetData>
    <row r="1" spans="1:7" s="1" customFormat="1" ht="2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35">
      <c r="A2" s="1">
        <v>46209</v>
      </c>
      <c r="B2" s="1">
        <v>46209</v>
      </c>
      <c r="C2" s="1" t="s">
        <v>11</v>
      </c>
      <c r="D2" s="1" t="s">
        <v>12</v>
      </c>
      <c r="E2" s="1">
        <v>562.74</v>
      </c>
      <c r="F2" s="1">
        <v>0</v>
      </c>
      <c r="G2" s="1">
        <v>80906.899999999994</v>
      </c>
    </row>
    <row r="3" spans="1:7" s="1" customFormat="1" x14ac:dyDescent="0.35">
      <c r="A3" s="1">
        <v>46209</v>
      </c>
      <c r="B3" s="1">
        <v>46209</v>
      </c>
      <c r="C3" s="1" t="s">
        <v>8</v>
      </c>
      <c r="D3" s="1" t="s">
        <v>9</v>
      </c>
      <c r="E3" s="1">
        <v>1648.03</v>
      </c>
      <c r="F3" s="1">
        <v>0</v>
      </c>
      <c r="G3" s="1">
        <v>79258.87</v>
      </c>
    </row>
    <row r="4" spans="1:7" s="1" customFormat="1" x14ac:dyDescent="0.35">
      <c r="A4" s="1">
        <v>46209</v>
      </c>
      <c r="B4" s="1">
        <v>46209</v>
      </c>
      <c r="C4" s="1" t="s">
        <v>8</v>
      </c>
      <c r="D4" s="1" t="s">
        <v>10</v>
      </c>
      <c r="E4" s="1">
        <v>15</v>
      </c>
      <c r="F4" s="1">
        <v>0</v>
      </c>
      <c r="G4" s="1">
        <v>79243.87</v>
      </c>
    </row>
    <row r="5" spans="1:7" s="1" customFormat="1" x14ac:dyDescent="0.35">
      <c r="A5" s="1">
        <v>46211</v>
      </c>
      <c r="B5" s="1">
        <v>46211</v>
      </c>
      <c r="C5" s="1" t="s">
        <v>7</v>
      </c>
      <c r="D5" s="1" t="s">
        <v>14</v>
      </c>
      <c r="E5" s="1">
        <v>7405.67</v>
      </c>
      <c r="F5" s="1">
        <v>0</v>
      </c>
      <c r="G5" s="1">
        <v>71838.2</v>
      </c>
    </row>
    <row r="6" spans="1:7" s="1" customFormat="1" x14ac:dyDescent="0.35">
      <c r="A6" s="1">
        <v>46212</v>
      </c>
      <c r="B6" s="1">
        <v>46212</v>
      </c>
      <c r="C6" s="1" t="s">
        <v>7</v>
      </c>
      <c r="D6" s="1" t="s">
        <v>15</v>
      </c>
      <c r="E6" s="1">
        <v>29434.91</v>
      </c>
      <c r="F6" s="1">
        <v>0</v>
      </c>
      <c r="G6" s="1">
        <v>49288.33</v>
      </c>
    </row>
    <row r="7" spans="1:7" s="1" customFormat="1" x14ac:dyDescent="0.35">
      <c r="A7" s="1">
        <v>46216</v>
      </c>
      <c r="B7" s="1">
        <v>46216</v>
      </c>
      <c r="C7" s="1" t="s">
        <v>16</v>
      </c>
      <c r="D7" s="1" t="s">
        <v>17</v>
      </c>
      <c r="E7" s="1">
        <v>272.72000000000003</v>
      </c>
      <c r="F7" s="1">
        <v>0</v>
      </c>
      <c r="G7" s="1">
        <v>56864.37</v>
      </c>
    </row>
    <row r="8" spans="1:7" s="1" customFormat="1" x14ac:dyDescent="0.35">
      <c r="A8" s="1">
        <v>46224</v>
      </c>
      <c r="B8" s="1">
        <v>46224</v>
      </c>
      <c r="C8" s="1" t="s">
        <v>7</v>
      </c>
      <c r="D8" s="1" t="s">
        <v>18</v>
      </c>
      <c r="E8" s="1">
        <v>1650</v>
      </c>
      <c r="F8" s="1">
        <v>0</v>
      </c>
      <c r="G8" s="1">
        <v>100864.98</v>
      </c>
    </row>
    <row r="9" spans="1:7" s="1" customFormat="1" x14ac:dyDescent="0.35">
      <c r="A9" s="1">
        <v>46224</v>
      </c>
      <c r="B9" s="1">
        <v>46224</v>
      </c>
      <c r="C9" s="1" t="s">
        <v>19</v>
      </c>
      <c r="D9" s="1" t="s">
        <v>20</v>
      </c>
      <c r="E9" s="1">
        <v>31.88</v>
      </c>
      <c r="F9" s="1">
        <v>0</v>
      </c>
      <c r="G9" s="1">
        <v>100833.1</v>
      </c>
    </row>
    <row r="10" spans="1:7" s="1" customFormat="1" x14ac:dyDescent="0.35">
      <c r="A10" s="1">
        <v>46226</v>
      </c>
      <c r="B10" s="1">
        <v>46226</v>
      </c>
      <c r="C10" s="1" t="s">
        <v>7</v>
      </c>
      <c r="D10" s="1" t="s">
        <v>13</v>
      </c>
      <c r="E10" s="1">
        <v>30000</v>
      </c>
      <c r="F10" s="1">
        <v>0</v>
      </c>
      <c r="G10" s="1">
        <v>81515.91</v>
      </c>
    </row>
    <row r="11" spans="1:7" s="1" customFormat="1" x14ac:dyDescent="0.35">
      <c r="A11" s="1">
        <v>46143</v>
      </c>
      <c r="B11" s="1">
        <v>46143</v>
      </c>
      <c r="C11" s="1" t="s">
        <v>7</v>
      </c>
      <c r="D11" s="1" t="s">
        <v>21</v>
      </c>
      <c r="E11" s="1">
        <v>0</v>
      </c>
      <c r="F11" s="1">
        <v>0</v>
      </c>
      <c r="G11" s="1">
        <v>1301048.6100000001</v>
      </c>
    </row>
    <row r="12" spans="1:7" s="1" customFormat="1" x14ac:dyDescent="0.35">
      <c r="A12" s="1">
        <v>46146</v>
      </c>
      <c r="B12" s="1">
        <v>46146</v>
      </c>
      <c r="C12" s="1" t="str">
        <f>LEFT(D12,12)</f>
        <v>141826120037</v>
      </c>
      <c r="D12" s="1" t="s">
        <v>22</v>
      </c>
      <c r="E12" s="1">
        <v>976.48</v>
      </c>
      <c r="F12" s="1">
        <v>0</v>
      </c>
      <c r="G12" s="1">
        <v>1300072.1299999999</v>
      </c>
    </row>
    <row r="13" spans="1:7" s="1" customFormat="1" x14ac:dyDescent="0.35">
      <c r="A13" s="1">
        <v>46146</v>
      </c>
      <c r="B13" s="1">
        <v>46146</v>
      </c>
      <c r="C13" s="1" t="str">
        <f t="shared" ref="C13:C18" si="0">LEFT(D13,12)</f>
        <v>141826120037</v>
      </c>
      <c r="D13" s="1" t="s">
        <v>23</v>
      </c>
      <c r="E13" s="1">
        <v>20</v>
      </c>
      <c r="F13" s="1">
        <v>0</v>
      </c>
      <c r="G13" s="1">
        <v>1300052.1299999999</v>
      </c>
    </row>
    <row r="14" spans="1:7" s="1" customFormat="1" x14ac:dyDescent="0.35">
      <c r="A14" s="1">
        <v>46148</v>
      </c>
      <c r="B14" s="1">
        <v>46148</v>
      </c>
      <c r="C14" s="1" t="str">
        <f t="shared" si="0"/>
        <v>141826120035</v>
      </c>
      <c r="D14" s="1" t="s">
        <v>24</v>
      </c>
      <c r="E14" s="1">
        <v>9360</v>
      </c>
      <c r="F14" s="1">
        <v>0</v>
      </c>
      <c r="G14" s="1">
        <v>1290692.1299999999</v>
      </c>
    </row>
    <row r="15" spans="1:7" s="1" customFormat="1" x14ac:dyDescent="0.35">
      <c r="A15" s="1">
        <v>46149</v>
      </c>
      <c r="B15" s="1">
        <v>46149</v>
      </c>
      <c r="C15" s="1" t="str">
        <f t="shared" si="0"/>
        <v>141825040320</v>
      </c>
      <c r="D15" s="1" t="s">
        <v>25</v>
      </c>
      <c r="E15" s="1">
        <v>4164</v>
      </c>
      <c r="F15" s="1">
        <v>0</v>
      </c>
      <c r="G15" s="1">
        <v>1286528.1299999999</v>
      </c>
    </row>
    <row r="16" spans="1:7" s="1" customFormat="1" x14ac:dyDescent="0.35">
      <c r="A16" s="1">
        <v>46149</v>
      </c>
      <c r="B16" s="1">
        <v>46149</v>
      </c>
      <c r="C16" s="1" t="str">
        <f t="shared" si="0"/>
        <v xml:space="preserve">22520260744 </v>
      </c>
      <c r="D16" s="1" t="s">
        <v>26</v>
      </c>
      <c r="E16" s="1">
        <v>0</v>
      </c>
      <c r="F16" s="1">
        <v>3977.51</v>
      </c>
      <c r="G16" s="1">
        <v>1290505.6399999999</v>
      </c>
    </row>
    <row r="17" spans="1:7" s="1" customFormat="1" x14ac:dyDescent="0.35">
      <c r="A17" s="1">
        <v>46152</v>
      </c>
      <c r="B17" s="1">
        <v>46152</v>
      </c>
      <c r="C17" s="1" t="str">
        <f t="shared" si="0"/>
        <v>141826120060</v>
      </c>
      <c r="D17" s="1" t="s">
        <v>27</v>
      </c>
      <c r="E17" s="1">
        <v>9245.35</v>
      </c>
      <c r="F17" s="1">
        <v>0</v>
      </c>
      <c r="G17" s="1">
        <v>1281260.29</v>
      </c>
    </row>
    <row r="18" spans="1:7" s="1" customFormat="1" x14ac:dyDescent="0.35">
      <c r="A18" s="1">
        <v>46156</v>
      </c>
      <c r="B18" s="1">
        <v>46156</v>
      </c>
      <c r="C18" s="1" t="str">
        <f t="shared" si="0"/>
        <v>141826120056</v>
      </c>
      <c r="D18" s="1" t="s">
        <v>28</v>
      </c>
      <c r="E18" s="1">
        <v>8584.81</v>
      </c>
      <c r="F18" s="1">
        <v>0</v>
      </c>
      <c r="G18" s="1">
        <v>1272675.48</v>
      </c>
    </row>
    <row r="19" spans="1:7" s="1" customFormat="1" x14ac:dyDescent="0.35">
      <c r="A19" s="1">
        <v>46161</v>
      </c>
      <c r="B19" s="1">
        <v>46161</v>
      </c>
      <c r="C19" s="1" t="s">
        <v>47</v>
      </c>
      <c r="D19" s="1" t="s">
        <v>29</v>
      </c>
      <c r="E19" s="1">
        <v>12318.43</v>
      </c>
      <c r="F19" s="1">
        <v>0</v>
      </c>
      <c r="G19" s="1">
        <v>1260357.05</v>
      </c>
    </row>
    <row r="20" spans="1:7" s="1" customFormat="1" x14ac:dyDescent="0.35">
      <c r="A20" s="1">
        <v>46161</v>
      </c>
      <c r="B20" s="1">
        <v>46161</v>
      </c>
      <c r="C20" s="1" t="s">
        <v>48</v>
      </c>
      <c r="D20" s="1" t="s">
        <v>30</v>
      </c>
      <c r="E20" s="1">
        <v>52766.81</v>
      </c>
      <c r="F20" s="1">
        <v>0</v>
      </c>
      <c r="G20" s="1">
        <v>1207590.24</v>
      </c>
    </row>
    <row r="21" spans="1:7" s="1" customFormat="1" x14ac:dyDescent="0.35">
      <c r="A21" s="1">
        <v>46161</v>
      </c>
      <c r="B21" s="1">
        <v>46161</v>
      </c>
      <c r="C21" s="1" t="s">
        <v>49</v>
      </c>
      <c r="D21" s="1" t="s">
        <v>31</v>
      </c>
      <c r="E21" s="1">
        <v>2257</v>
      </c>
      <c r="F21" s="1">
        <v>0</v>
      </c>
      <c r="G21" s="1">
        <v>1205333.24</v>
      </c>
    </row>
    <row r="22" spans="1:7" s="1" customFormat="1" x14ac:dyDescent="0.35">
      <c r="A22" s="1">
        <v>46161</v>
      </c>
      <c r="B22" s="1">
        <v>46161</v>
      </c>
      <c r="C22" s="1" t="s">
        <v>50</v>
      </c>
      <c r="D22" s="1" t="s">
        <v>32</v>
      </c>
      <c r="E22" s="1">
        <v>173610.31</v>
      </c>
      <c r="F22" s="1">
        <v>0</v>
      </c>
      <c r="G22" s="1">
        <v>1031722.93</v>
      </c>
    </row>
    <row r="23" spans="1:7" s="1" customFormat="1" x14ac:dyDescent="0.35">
      <c r="A23" s="1">
        <v>46161</v>
      </c>
      <c r="B23" s="1">
        <v>46161</v>
      </c>
      <c r="C23" s="1" t="s">
        <v>51</v>
      </c>
      <c r="D23" s="1" t="s">
        <v>33</v>
      </c>
      <c r="E23" s="1">
        <v>2829.32</v>
      </c>
      <c r="F23" s="1">
        <v>0</v>
      </c>
      <c r="G23" s="1">
        <v>1028893.61</v>
      </c>
    </row>
    <row r="24" spans="1:7" s="1" customFormat="1" x14ac:dyDescent="0.35">
      <c r="A24" s="1">
        <v>46161</v>
      </c>
      <c r="B24" s="1">
        <v>46161</v>
      </c>
      <c r="C24" s="1" t="s">
        <v>52</v>
      </c>
      <c r="D24" s="1" t="s">
        <v>34</v>
      </c>
      <c r="E24" s="1">
        <v>2834.25</v>
      </c>
      <c r="F24" s="1">
        <v>0</v>
      </c>
      <c r="G24" s="1">
        <v>1026059.36</v>
      </c>
    </row>
    <row r="25" spans="1:7" s="1" customFormat="1" x14ac:dyDescent="0.35">
      <c r="A25" s="1">
        <v>46161</v>
      </c>
      <c r="B25" s="1">
        <v>46161</v>
      </c>
      <c r="C25" s="1" t="s">
        <v>53</v>
      </c>
      <c r="D25" s="1" t="s">
        <v>35</v>
      </c>
      <c r="E25" s="1">
        <v>9338.44</v>
      </c>
      <c r="F25" s="1">
        <v>0</v>
      </c>
      <c r="G25" s="1">
        <v>1016720.92</v>
      </c>
    </row>
    <row r="26" spans="1:7" s="1" customFormat="1" x14ac:dyDescent="0.35">
      <c r="A26" s="1">
        <v>46161</v>
      </c>
      <c r="B26" s="1">
        <v>46161</v>
      </c>
      <c r="C26" s="1" t="s">
        <v>54</v>
      </c>
      <c r="D26" s="1" t="s">
        <v>36</v>
      </c>
      <c r="E26" s="1">
        <v>46572.480000000003</v>
      </c>
      <c r="F26" s="1">
        <v>0</v>
      </c>
      <c r="G26" s="1">
        <v>970148.44</v>
      </c>
    </row>
    <row r="27" spans="1:7" s="1" customFormat="1" x14ac:dyDescent="0.35">
      <c r="A27" s="1">
        <v>46161</v>
      </c>
      <c r="B27" s="1">
        <v>46161</v>
      </c>
      <c r="C27" s="1" t="s">
        <v>54</v>
      </c>
      <c r="D27" s="1" t="s">
        <v>37</v>
      </c>
      <c r="E27" s="1">
        <v>132853.46</v>
      </c>
      <c r="F27" s="1">
        <v>0</v>
      </c>
      <c r="G27" s="1">
        <v>837294.98</v>
      </c>
    </row>
    <row r="28" spans="1:7" s="1" customFormat="1" x14ac:dyDescent="0.35">
      <c r="A28" s="1">
        <v>46161</v>
      </c>
      <c r="B28" s="1">
        <v>46161</v>
      </c>
      <c r="C28" s="1" t="s">
        <v>55</v>
      </c>
      <c r="D28" s="1" t="s">
        <v>38</v>
      </c>
      <c r="E28" s="1">
        <v>130047.6</v>
      </c>
      <c r="F28" s="1">
        <v>0</v>
      </c>
      <c r="G28" s="1">
        <v>707247.38</v>
      </c>
    </row>
    <row r="29" spans="1:7" s="1" customFormat="1" x14ac:dyDescent="0.35">
      <c r="A29" s="1">
        <v>46161</v>
      </c>
      <c r="B29" s="1">
        <v>46161</v>
      </c>
      <c r="C29" s="1" t="s">
        <v>56</v>
      </c>
      <c r="D29" s="1" t="s">
        <v>39</v>
      </c>
      <c r="E29" s="1">
        <v>7960.3</v>
      </c>
      <c r="F29" s="1">
        <v>0</v>
      </c>
      <c r="G29" s="1">
        <v>699287.08</v>
      </c>
    </row>
    <row r="30" spans="1:7" s="1" customFormat="1" x14ac:dyDescent="0.35">
      <c r="A30" s="1">
        <v>46161</v>
      </c>
      <c r="B30" s="1">
        <v>46161</v>
      </c>
      <c r="C30" s="1" t="s">
        <v>57</v>
      </c>
      <c r="D30" s="1" t="s">
        <v>40</v>
      </c>
      <c r="E30" s="1">
        <v>40824.31</v>
      </c>
      <c r="F30" s="1">
        <v>0</v>
      </c>
      <c r="G30" s="1">
        <v>658462.77</v>
      </c>
    </row>
    <row r="31" spans="1:7" s="1" customFormat="1" x14ac:dyDescent="0.35">
      <c r="A31" s="1">
        <v>46162</v>
      </c>
      <c r="B31" s="1">
        <v>46162</v>
      </c>
      <c r="C31" s="1" t="str">
        <f t="shared" ref="C31" si="1">LEFT(D31,12)</f>
        <v>141826030015</v>
      </c>
      <c r="D31" s="1" t="s">
        <v>41</v>
      </c>
      <c r="E31" s="1">
        <v>8400</v>
      </c>
      <c r="F31" s="1">
        <v>0</v>
      </c>
      <c r="G31" s="1">
        <v>650062.77</v>
      </c>
    </row>
    <row r="32" spans="1:7" s="1" customFormat="1" x14ac:dyDescent="0.35">
      <c r="A32" s="1">
        <v>46163</v>
      </c>
      <c r="B32" s="1">
        <v>46163</v>
      </c>
      <c r="C32" s="1" t="s">
        <v>7</v>
      </c>
      <c r="D32" s="1" t="s">
        <v>42</v>
      </c>
      <c r="E32" s="1">
        <v>0</v>
      </c>
      <c r="F32" s="1">
        <v>10634.04</v>
      </c>
      <c r="G32" s="1">
        <v>660696.81000000006</v>
      </c>
    </row>
    <row r="33" spans="1:7" s="1" customFormat="1" x14ac:dyDescent="0.35">
      <c r="A33" s="1">
        <v>46165</v>
      </c>
      <c r="B33" s="1">
        <v>46165</v>
      </c>
      <c r="C33" s="1" t="str">
        <f>LEFT(D33,13)</f>
        <v>1418260400195</v>
      </c>
      <c r="D33" s="1" t="s">
        <v>43</v>
      </c>
      <c r="E33" s="1">
        <v>2276.64</v>
      </c>
      <c r="F33" s="1">
        <v>0</v>
      </c>
      <c r="G33" s="1">
        <v>658420.17000000004</v>
      </c>
    </row>
    <row r="34" spans="1:7" s="1" customFormat="1" x14ac:dyDescent="0.35">
      <c r="A34" s="1">
        <v>46165</v>
      </c>
      <c r="B34" s="1">
        <v>46165</v>
      </c>
      <c r="C34" s="1" t="str">
        <f>LEFT(D34,13)</f>
        <v>1418260400351</v>
      </c>
      <c r="D34" s="1" t="s">
        <v>44</v>
      </c>
      <c r="E34" s="1">
        <v>3723.47</v>
      </c>
      <c r="F34" s="1">
        <v>0</v>
      </c>
      <c r="G34" s="1">
        <v>654696.69999999995</v>
      </c>
    </row>
    <row r="35" spans="1:7" s="1" customFormat="1" x14ac:dyDescent="0.35">
      <c r="A35" s="1">
        <v>46166</v>
      </c>
      <c r="B35" s="1">
        <v>46166</v>
      </c>
      <c r="C35" s="1" t="str">
        <f>LEFT(D35,13)</f>
        <v>1418260400194</v>
      </c>
      <c r="D35" s="1" t="s">
        <v>45</v>
      </c>
      <c r="E35" s="1">
        <v>15440.13</v>
      </c>
      <c r="F35" s="1">
        <v>0</v>
      </c>
      <c r="G35" s="1">
        <v>639256.56999999995</v>
      </c>
    </row>
    <row r="36" spans="1:7" s="1" customFormat="1" x14ac:dyDescent="0.35">
      <c r="A36" s="1">
        <v>46166</v>
      </c>
      <c r="B36" s="1">
        <v>46166</v>
      </c>
      <c r="C36" s="1" t="str">
        <f t="shared" ref="C36" si="2">LEFT(D36,13)</f>
        <v>1418260400199</v>
      </c>
      <c r="D36" s="1" t="s">
        <v>46</v>
      </c>
      <c r="E36" s="1">
        <v>21971.57</v>
      </c>
      <c r="F36" s="1">
        <v>0</v>
      </c>
      <c r="G36" s="1">
        <v>617285</v>
      </c>
    </row>
  </sheetData>
  <pageMargins left="0" right="0" top="0" bottom="0.19792000000000001" header="0" footer="0"/>
  <pageSetup paperSize="9" orientation="portrait" horizontalDpi="300" verticalDpi="300"/>
  <headerFooter alignWithMargins="0">
    <oddFooter>&amp;C&amp;"Calibri"&amp;9 &amp;BPage &amp;Pof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0293-3405-41DC-B2F1-07BF536D1181}">
  <dimension ref="A1"/>
  <sheetViews>
    <sheetView workbookViewId="0">
      <selection activeCell="F22" sqref="F2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DHAKABANK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Hasibul Kabir Emon</dc:creator>
  <cp:lastModifiedBy>Md. Hasibul Kabir Emon</cp:lastModifiedBy>
  <dcterms:created xsi:type="dcterms:W3CDTF">2026-10-05T07:14:14Z</dcterms:created>
  <dcterms:modified xsi:type="dcterms:W3CDTF">2026-10-14T12:49:05Z</dcterms:modified>
</cp:coreProperties>
</file>